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 Castillo\Desktop\MUSE\SEGUNDO CUATRIMESTRE\ESTRUCTURAS\TRABAJO HECHO A MANO\Trabajo_EUE_25-26\"/>
    </mc:Choice>
  </mc:AlternateContent>
  <xr:revisionPtr revIDLastSave="0" documentId="13_ncr:1_{62E7429F-B3A3-4F36-9C97-7F4AE8C262B6}" xr6:coauthVersionLast="47" xr6:coauthVersionMax="47" xr10:uidLastSave="{00000000-0000-0000-0000-000000000000}"/>
  <bookViews>
    <workbookView xWindow="-105" yWindow="0" windowWidth="17655" windowHeight="21705" xr2:uid="{B561EE48-D178-4D34-B0F3-ABDE81C382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" l="1"/>
  <c r="K12" i="1"/>
  <c r="K10" i="1"/>
  <c r="K8" i="1"/>
  <c r="K7" i="1"/>
  <c r="K4" i="1"/>
  <c r="K6" i="1"/>
  <c r="K5" i="1"/>
  <c r="K3" i="1"/>
  <c r="I7" i="1"/>
  <c r="I8" i="1"/>
  <c r="I9" i="1"/>
  <c r="I10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E27" i="1"/>
  <c r="F36" i="1"/>
  <c r="F43" i="1" s="1"/>
  <c r="G33" i="1"/>
  <c r="G40" i="1" s="1"/>
  <c r="K25" i="1"/>
  <c r="L25" i="1"/>
  <c r="S25" i="1"/>
  <c r="T25" i="1"/>
  <c r="AB25" i="1"/>
  <c r="AC25" i="1"/>
  <c r="K26" i="1"/>
  <c r="S26" i="1"/>
  <c r="AB26" i="1"/>
  <c r="J28" i="1"/>
  <c r="Q28" i="1"/>
  <c r="R28" i="1"/>
  <c r="Y28" i="1"/>
  <c r="AA28" i="1"/>
  <c r="AH28" i="1"/>
  <c r="AI28" i="1"/>
  <c r="E28" i="1"/>
  <c r="E26" i="1"/>
  <c r="E25" i="1"/>
  <c r="C25" i="1"/>
  <c r="G25" i="1" s="1"/>
  <c r="C28" i="1"/>
  <c r="F28" i="1" s="1"/>
  <c r="C26" i="1"/>
  <c r="F26" i="1" s="1"/>
  <c r="I5" i="1"/>
  <c r="H6" i="1"/>
  <c r="I6" i="1" s="1"/>
  <c r="H5" i="1"/>
  <c r="C35" i="1" s="1"/>
  <c r="C42" i="1" s="1"/>
  <c r="H4" i="1"/>
  <c r="I4" i="1" s="1"/>
  <c r="H3" i="1"/>
  <c r="D10" i="1"/>
  <c r="D9" i="1"/>
  <c r="D8" i="1"/>
  <c r="D7" i="1"/>
  <c r="D6" i="1"/>
  <c r="G21" i="1" s="1"/>
  <c r="D5" i="1"/>
  <c r="D4" i="1"/>
  <c r="F21" i="1" s="1"/>
  <c r="D3" i="1"/>
  <c r="H21" i="1" s="1"/>
  <c r="C11" i="1"/>
  <c r="C12" i="1"/>
  <c r="O36" i="1" l="1"/>
  <c r="O43" i="1" s="1"/>
  <c r="Z34" i="1"/>
  <c r="Z41" i="1" s="1"/>
  <c r="AA26" i="1"/>
  <c r="AG28" i="1"/>
  <c r="X28" i="1"/>
  <c r="P28" i="1"/>
  <c r="AH26" i="1"/>
  <c r="AH34" i="1" s="1"/>
  <c r="AH41" i="1" s="1"/>
  <c r="Y26" i="1"/>
  <c r="Y34" i="1" s="1"/>
  <c r="Y41" i="1" s="1"/>
  <c r="Q26" i="1"/>
  <c r="Q34" i="1" s="1"/>
  <c r="Q41" i="1" s="1"/>
  <c r="AI25" i="1"/>
  <c r="AI33" i="1" s="1"/>
  <c r="AI40" i="1" s="1"/>
  <c r="AA25" i="1"/>
  <c r="R25" i="1"/>
  <c r="R33" i="1" s="1"/>
  <c r="J25" i="1"/>
  <c r="J33" i="1" s="1"/>
  <c r="AC33" i="1"/>
  <c r="AC40" i="1" s="1"/>
  <c r="E33" i="1"/>
  <c r="E40" i="1" s="1"/>
  <c r="AC36" i="1"/>
  <c r="AC43" i="1" s="1"/>
  <c r="E36" i="1"/>
  <c r="E43" i="1" s="1"/>
  <c r="AF34" i="1"/>
  <c r="AF41" i="1" s="1"/>
  <c r="X34" i="1"/>
  <c r="X41" i="1" s="1"/>
  <c r="AF28" i="1"/>
  <c r="AF36" i="1" s="1"/>
  <c r="AF43" i="1" s="1"/>
  <c r="W28" i="1"/>
  <c r="W36" i="1" s="1"/>
  <c r="W43" i="1" s="1"/>
  <c r="O28" i="1"/>
  <c r="AG26" i="1"/>
  <c r="AG34" i="1" s="1"/>
  <c r="AG41" i="1" s="1"/>
  <c r="X26" i="1"/>
  <c r="P26" i="1"/>
  <c r="P34" i="1" s="1"/>
  <c r="P41" i="1" s="1"/>
  <c r="AH25" i="1"/>
  <c r="Y25" i="1"/>
  <c r="Q25" i="1"/>
  <c r="Q33" i="1" s="1"/>
  <c r="Q40" i="1" s="1"/>
  <c r="C33" i="1"/>
  <c r="C40" i="1" s="1"/>
  <c r="AB33" i="1"/>
  <c r="AB40" i="1" s="1"/>
  <c r="T33" i="1"/>
  <c r="T40" i="1" s="1"/>
  <c r="L33" i="1"/>
  <c r="L40" i="1" s="1"/>
  <c r="D33" i="1"/>
  <c r="D36" i="1"/>
  <c r="D43" i="1" s="1"/>
  <c r="AE34" i="1"/>
  <c r="AE41" i="1" s="1"/>
  <c r="W34" i="1"/>
  <c r="W41" i="1" s="1"/>
  <c r="O34" i="1"/>
  <c r="O41" i="1" s="1"/>
  <c r="G34" i="1"/>
  <c r="G41" i="1" s="1"/>
  <c r="AE28" i="1"/>
  <c r="AE36" i="1" s="1"/>
  <c r="AE43" i="1" s="1"/>
  <c r="V28" i="1"/>
  <c r="V36" i="1" s="1"/>
  <c r="V43" i="1" s="1"/>
  <c r="N28" i="1"/>
  <c r="N36" i="1" s="1"/>
  <c r="N43" i="1" s="1"/>
  <c r="AF26" i="1"/>
  <c r="W26" i="1"/>
  <c r="O26" i="1"/>
  <c r="AG25" i="1"/>
  <c r="AG33" i="1" s="1"/>
  <c r="X25" i="1"/>
  <c r="X33" i="1" s="1"/>
  <c r="X40" i="1" s="1"/>
  <c r="P25" i="1"/>
  <c r="P33" i="1" s="1"/>
  <c r="P40" i="1" s="1"/>
  <c r="AA33" i="1"/>
  <c r="AA40" i="1" s="1"/>
  <c r="S33" i="1"/>
  <c r="S40" i="1" s="1"/>
  <c r="K33" i="1"/>
  <c r="K40" i="1" s="1"/>
  <c r="AI36" i="1"/>
  <c r="AI43" i="1" s="1"/>
  <c r="AA36" i="1"/>
  <c r="AA43" i="1" s="1"/>
  <c r="S36" i="1"/>
  <c r="S43" i="1" s="1"/>
  <c r="C36" i="1"/>
  <c r="C43" i="1" s="1"/>
  <c r="AD34" i="1"/>
  <c r="AD41" i="1" s="1"/>
  <c r="F34" i="1"/>
  <c r="F41" i="1" s="1"/>
  <c r="E35" i="1"/>
  <c r="E37" i="1" s="1"/>
  <c r="J26" i="1"/>
  <c r="J34" i="1" s="1"/>
  <c r="J41" i="1" s="1"/>
  <c r="AD28" i="1"/>
  <c r="AD36" i="1" s="1"/>
  <c r="AD43" i="1" s="1"/>
  <c r="U28" i="1"/>
  <c r="U36" i="1" s="1"/>
  <c r="U43" i="1" s="1"/>
  <c r="M28" i="1"/>
  <c r="M36" i="1" s="1"/>
  <c r="M43" i="1" s="1"/>
  <c r="AE26" i="1"/>
  <c r="V26" i="1"/>
  <c r="V34" i="1" s="1"/>
  <c r="V41" i="1" s="1"/>
  <c r="N26" i="1"/>
  <c r="N34" i="1" s="1"/>
  <c r="N41" i="1" s="1"/>
  <c r="AF25" i="1"/>
  <c r="AF33" i="1" s="1"/>
  <c r="W25" i="1"/>
  <c r="W33" i="1" s="1"/>
  <c r="W40" i="1" s="1"/>
  <c r="O25" i="1"/>
  <c r="O33" i="1" s="1"/>
  <c r="O40" i="1" s="1"/>
  <c r="AH33" i="1"/>
  <c r="AH40" i="1" s="1"/>
  <c r="Z33" i="1"/>
  <c r="Z40" i="1" s="1"/>
  <c r="AH36" i="1"/>
  <c r="AH43" i="1" s="1"/>
  <c r="Z36" i="1"/>
  <c r="Z43" i="1" s="1"/>
  <c r="R36" i="1"/>
  <c r="R43" i="1" s="1"/>
  <c r="J36" i="1"/>
  <c r="J43" i="1" s="1"/>
  <c r="D35" i="1"/>
  <c r="D42" i="1" s="1"/>
  <c r="AC34" i="1"/>
  <c r="AC41" i="1" s="1"/>
  <c r="E34" i="1"/>
  <c r="E41" i="1" s="1"/>
  <c r="H12" i="1"/>
  <c r="H13" i="1" s="1"/>
  <c r="AI26" i="1"/>
  <c r="AI34" i="1" s="1"/>
  <c r="AI41" i="1" s="1"/>
  <c r="AC28" i="1"/>
  <c r="T28" i="1"/>
  <c r="T36" i="1" s="1"/>
  <c r="T43" i="1" s="1"/>
  <c r="L28" i="1"/>
  <c r="L36" i="1" s="1"/>
  <c r="L43" i="1" s="1"/>
  <c r="AD26" i="1"/>
  <c r="U26" i="1"/>
  <c r="U34" i="1" s="1"/>
  <c r="U41" i="1" s="1"/>
  <c r="M26" i="1"/>
  <c r="M34" i="1" s="1"/>
  <c r="M41" i="1" s="1"/>
  <c r="AE25" i="1"/>
  <c r="AE33" i="1" s="1"/>
  <c r="AE40" i="1" s="1"/>
  <c r="V25" i="1"/>
  <c r="V33" i="1" s="1"/>
  <c r="V40" i="1" s="1"/>
  <c r="N25" i="1"/>
  <c r="N33" i="1" s="1"/>
  <c r="N40" i="1" s="1"/>
  <c r="Y33" i="1"/>
  <c r="Y40" i="1" s="1"/>
  <c r="AG36" i="1"/>
  <c r="AG43" i="1" s="1"/>
  <c r="Y36" i="1"/>
  <c r="Y43" i="1" s="1"/>
  <c r="Q36" i="1"/>
  <c r="Q43" i="1" s="1"/>
  <c r="I36" i="1"/>
  <c r="I43" i="1" s="1"/>
  <c r="AB34" i="1"/>
  <c r="AB41" i="1" s="1"/>
  <c r="T34" i="1"/>
  <c r="T41" i="1" s="1"/>
  <c r="D34" i="1"/>
  <c r="D41" i="1" s="1"/>
  <c r="R26" i="1"/>
  <c r="R34" i="1" s="1"/>
  <c r="R41" i="1" s="1"/>
  <c r="I3" i="1"/>
  <c r="F25" i="1"/>
  <c r="F33" i="1" s="1"/>
  <c r="F40" i="1" s="1"/>
  <c r="AB28" i="1"/>
  <c r="AB36" i="1" s="1"/>
  <c r="AB43" i="1" s="1"/>
  <c r="S28" i="1"/>
  <c r="K28" i="1"/>
  <c r="K36" i="1" s="1"/>
  <c r="K43" i="1" s="1"/>
  <c r="AC26" i="1"/>
  <c r="T26" i="1"/>
  <c r="L26" i="1"/>
  <c r="L34" i="1" s="1"/>
  <c r="L41" i="1" s="1"/>
  <c r="AD25" i="1"/>
  <c r="AD33" i="1" s="1"/>
  <c r="AD40" i="1" s="1"/>
  <c r="U25" i="1"/>
  <c r="U33" i="1" s="1"/>
  <c r="U40" i="1" s="1"/>
  <c r="M25" i="1"/>
  <c r="M33" i="1" s="1"/>
  <c r="M40" i="1" s="1"/>
  <c r="X36" i="1"/>
  <c r="X43" i="1" s="1"/>
  <c r="P36" i="1"/>
  <c r="P43" i="1" s="1"/>
  <c r="H36" i="1"/>
  <c r="H43" i="1" s="1"/>
  <c r="AA34" i="1"/>
  <c r="AA41" i="1" s="1"/>
  <c r="S34" i="1"/>
  <c r="S41" i="1" s="1"/>
  <c r="K34" i="1"/>
  <c r="K41" i="1" s="1"/>
  <c r="C34" i="1"/>
  <c r="C41" i="1" s="1"/>
  <c r="J27" i="1"/>
  <c r="J35" i="1" s="1"/>
  <c r="AG27" i="1"/>
  <c r="AG35" i="1" s="1"/>
  <c r="AG42" i="1" s="1"/>
  <c r="AH27" i="1"/>
  <c r="AH35" i="1" s="1"/>
  <c r="AF27" i="1"/>
  <c r="AF35" i="1" s="1"/>
  <c r="AF42" i="1" s="1"/>
  <c r="AE27" i="1"/>
  <c r="AE35" i="1" s="1"/>
  <c r="AB27" i="1"/>
  <c r="AB35" i="1" s="1"/>
  <c r="AB42" i="1" s="1"/>
  <c r="Z35" i="1"/>
  <c r="Z42" i="1" s="1"/>
  <c r="X27" i="1"/>
  <c r="X35" i="1" s="1"/>
  <c r="Y27" i="1"/>
  <c r="Y35" i="1" s="1"/>
  <c r="W27" i="1"/>
  <c r="W35" i="1" s="1"/>
  <c r="W42" i="1" s="1"/>
  <c r="T27" i="1"/>
  <c r="T35" i="1" s="1"/>
  <c r="T42" i="1" s="1"/>
  <c r="R27" i="1"/>
  <c r="R35" i="1" s="1"/>
  <c r="Q27" i="1"/>
  <c r="Q35" i="1" s="1"/>
  <c r="O27" i="1"/>
  <c r="O35" i="1" s="1"/>
  <c r="O42" i="1" s="1"/>
  <c r="P27" i="1"/>
  <c r="P35" i="1" s="1"/>
  <c r="I27" i="1"/>
  <c r="I35" i="1" s="1"/>
  <c r="AD27" i="1"/>
  <c r="AD35" i="1" s="1"/>
  <c r="AD42" i="1" s="1"/>
  <c r="V27" i="1"/>
  <c r="V35" i="1" s="1"/>
  <c r="V42" i="1" s="1"/>
  <c r="N27" i="1"/>
  <c r="N35" i="1" s="1"/>
  <c r="F27" i="1"/>
  <c r="F35" i="1" s="1"/>
  <c r="AC27" i="1"/>
  <c r="AC35" i="1" s="1"/>
  <c r="U27" i="1"/>
  <c r="U35" i="1" s="1"/>
  <c r="U42" i="1" s="1"/>
  <c r="M27" i="1"/>
  <c r="M35" i="1" s="1"/>
  <c r="L27" i="1"/>
  <c r="L35" i="1" s="1"/>
  <c r="L42" i="1" s="1"/>
  <c r="AI27" i="1"/>
  <c r="AI35" i="1" s="1"/>
  <c r="AI42" i="1" s="1"/>
  <c r="AA27" i="1"/>
  <c r="AA35" i="1" s="1"/>
  <c r="AA37" i="1" s="1"/>
  <c r="S27" i="1"/>
  <c r="S35" i="1" s="1"/>
  <c r="S37" i="1" s="1"/>
  <c r="K27" i="1"/>
  <c r="K35" i="1" s="1"/>
  <c r="J42" i="1"/>
  <c r="R42" i="1"/>
  <c r="C37" i="1"/>
  <c r="C44" i="1" s="1"/>
  <c r="I25" i="1"/>
  <c r="I33" i="1" s="1"/>
  <c r="I40" i="1" s="1"/>
  <c r="H27" i="1"/>
  <c r="H35" i="1" s="1"/>
  <c r="H25" i="1"/>
  <c r="H33" i="1" s="1"/>
  <c r="H40" i="1" s="1"/>
  <c r="G27" i="1"/>
  <c r="G35" i="1" s="1"/>
  <c r="I28" i="1"/>
  <c r="I26" i="1"/>
  <c r="I34" i="1" s="1"/>
  <c r="I41" i="1" s="1"/>
  <c r="H28" i="1"/>
  <c r="H26" i="1"/>
  <c r="H34" i="1" s="1"/>
  <c r="H41" i="1" s="1"/>
  <c r="G28" i="1"/>
  <c r="G36" i="1" s="1"/>
  <c r="G43" i="1" s="1"/>
  <c r="G26" i="1"/>
  <c r="D12" i="1"/>
  <c r="R40" i="1" l="1"/>
  <c r="R37" i="1"/>
  <c r="AF40" i="1"/>
  <c r="AF37" i="1"/>
  <c r="AG40" i="1"/>
  <c r="AG37" i="1"/>
  <c r="J40" i="1"/>
  <c r="J37" i="1"/>
  <c r="N37" i="1"/>
  <c r="Y37" i="1"/>
  <c r="W37" i="1"/>
  <c r="I37" i="1"/>
  <c r="X37" i="1"/>
  <c r="T37" i="1"/>
  <c r="M37" i="1"/>
  <c r="P37" i="1"/>
  <c r="AA42" i="1"/>
  <c r="E42" i="1"/>
  <c r="AC37" i="1"/>
  <c r="Q37" i="1"/>
  <c r="AE37" i="1"/>
  <c r="K37" i="1"/>
  <c r="F37" i="1"/>
  <c r="D40" i="1"/>
  <c r="D37" i="1"/>
  <c r="AH37" i="1"/>
  <c r="S42" i="1"/>
  <c r="AH42" i="1"/>
  <c r="AE42" i="1"/>
  <c r="Z37" i="1"/>
  <c r="AB37" i="1"/>
  <c r="N42" i="1"/>
  <c r="AD37" i="1"/>
  <c r="Y42" i="1"/>
  <c r="X42" i="1"/>
  <c r="AI37" i="1"/>
  <c r="Q42" i="1"/>
  <c r="P42" i="1"/>
  <c r="M42" i="1"/>
  <c r="O37" i="1"/>
  <c r="V37" i="1"/>
  <c r="F42" i="1"/>
  <c r="K42" i="1"/>
  <c r="AC42" i="1"/>
  <c r="I42" i="1"/>
  <c r="U37" i="1"/>
  <c r="L37" i="1"/>
  <c r="G42" i="1"/>
  <c r="G37" i="1"/>
  <c r="H37" i="1"/>
  <c r="H42" i="1"/>
</calcChain>
</file>

<file path=xl/sharedStrings.xml><?xml version="1.0" encoding="utf-8"?>
<sst xmlns="http://schemas.openxmlformats.org/spreadsheetml/2006/main" count="42" uniqueCount="32">
  <si>
    <t>Materiales</t>
  </si>
  <si>
    <t>Aluminio</t>
  </si>
  <si>
    <t>Bandeja_FPGA</t>
  </si>
  <si>
    <t>PCB_FPGA</t>
  </si>
  <si>
    <t>PCB_PROC</t>
  </si>
  <si>
    <t>PCB_MOD</t>
  </si>
  <si>
    <t>PCB_PSU</t>
  </si>
  <si>
    <t>PSU_PCB</t>
  </si>
  <si>
    <t>MOD_PCB</t>
  </si>
  <si>
    <t>FPGA_PCB</t>
  </si>
  <si>
    <t>PROC_PCB</t>
  </si>
  <si>
    <t>PSU_BANDEJA</t>
  </si>
  <si>
    <t>MOD_BANDEJA</t>
  </si>
  <si>
    <t>FPGA_BANDEJA</t>
  </si>
  <si>
    <t>PROC_BANDEJA</t>
  </si>
  <si>
    <t>TOTAL</t>
  </si>
  <si>
    <t>(backplanes)</t>
  </si>
  <si>
    <t>Densidad interpolada</t>
  </si>
  <si>
    <t>d0 (y0)</t>
  </si>
  <si>
    <t>d1 (y1)</t>
  </si>
  <si>
    <t>Mass Budget (x)</t>
  </si>
  <si>
    <t>m0 (x0)</t>
  </si>
  <si>
    <t>error</t>
  </si>
  <si>
    <t>PSU</t>
  </si>
  <si>
    <t>MOD</t>
  </si>
  <si>
    <t>FPGA</t>
  </si>
  <si>
    <t>PROC</t>
  </si>
  <si>
    <t>Masa Interp</t>
  </si>
  <si>
    <t>Suma</t>
  </si>
  <si>
    <t>Error</t>
  </si>
  <si>
    <t>Masa real</t>
  </si>
  <si>
    <t>Error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</si>
</sst>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4" formatCode="0.000000%"/>
    <numFmt numFmtId="176" formatCode="0.0000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11" fontId="0" fillId="0" borderId="0" xfId="0" applyNumberFormat="1"/>
    <xf numFmtId="0" fontId="0" fillId="0" borderId="0" xfId="0"/>
    <xf numFmtId="0" fontId="0" fillId="0" borderId="0" xfId="0" applyNumberFormat="1"/>
    <xf numFmtId="0" fontId="0" fillId="0" borderId="1" xfId="0" applyNumberFormat="1" applyBorder="1"/>
    <xf numFmtId="0" fontId="0" fillId="0" borderId="1" xfId="0" applyNumberFormat="1" applyBorder="1" applyAlignment="1">
      <alignment horizontal="center"/>
    </xf>
    <xf numFmtId="0" fontId="0" fillId="0" borderId="1" xfId="0" applyNumberFormat="1" applyBorder="1" applyAlignment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1" xfId="0" applyNumberFormat="1" applyFill="1" applyBorder="1" applyAlignment="1">
      <alignment vertical="center"/>
    </xf>
    <xf numFmtId="0" fontId="0" fillId="3" borderId="1" xfId="0" applyNumberFormat="1" applyFill="1" applyBorder="1" applyAlignment="1">
      <alignment vertical="center"/>
    </xf>
    <xf numFmtId="0" fontId="0" fillId="3" borderId="1" xfId="0" applyNumberFormat="1" applyFill="1" applyBorder="1"/>
    <xf numFmtId="0" fontId="0" fillId="2" borderId="1" xfId="0" applyNumberFormat="1" applyFill="1" applyBorder="1" applyAlignment="1">
      <alignment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0" xfId="0" applyNumberFormat="1" applyFill="1" applyBorder="1" applyAlignment="1">
      <alignment vertical="center"/>
    </xf>
    <xf numFmtId="0" fontId="0" fillId="3" borderId="0" xfId="0" applyNumberFormat="1" applyFill="1"/>
    <xf numFmtId="0" fontId="0" fillId="0" borderId="0" xfId="0" applyNumberFormat="1" applyFill="1" applyBorder="1" applyAlignment="1">
      <alignment horizontal="center"/>
    </xf>
    <xf numFmtId="10" fontId="0" fillId="0" borderId="0" xfId="0" applyNumberFormat="1"/>
    <xf numFmtId="0" fontId="0" fillId="0" borderId="2" xfId="0" applyNumberFormat="1" applyBorder="1"/>
    <xf numFmtId="0" fontId="0" fillId="4" borderId="1" xfId="0" applyFill="1" applyBorder="1"/>
    <xf numFmtId="0" fontId="0" fillId="4" borderId="0" xfId="0" applyFill="1" applyBorder="1"/>
    <xf numFmtId="0" fontId="0" fillId="4" borderId="3" xfId="0" applyFill="1" applyBorder="1"/>
    <xf numFmtId="0" fontId="0" fillId="5" borderId="0" xfId="0" applyFill="1" applyBorder="1"/>
    <xf numFmtId="0" fontId="0" fillId="6" borderId="0" xfId="0" applyFill="1"/>
    <xf numFmtId="0" fontId="0" fillId="6" borderId="1" xfId="0" applyFill="1" applyBorder="1"/>
    <xf numFmtId="0" fontId="0" fillId="6" borderId="0" xfId="0" applyFill="1" applyBorder="1"/>
    <xf numFmtId="0" fontId="0" fillId="7" borderId="0" xfId="0" applyNumberFormat="1" applyFill="1"/>
    <xf numFmtId="0" fontId="0" fillId="7" borderId="0" xfId="0" applyFill="1"/>
    <xf numFmtId="9" fontId="0" fillId="0" borderId="0" xfId="1" applyFont="1"/>
    <xf numFmtId="174" fontId="0" fillId="0" borderId="0" xfId="1" applyNumberFormat="1" applyFont="1"/>
    <xf numFmtId="176" fontId="0" fillId="0" borderId="0" xfId="1" applyNumberFormat="1" applyFont="1"/>
    <xf numFmtId="0" fontId="0" fillId="0" borderId="0" xfId="0" applyFont="1"/>
    <xf numFmtId="0" fontId="0" fillId="7" borderId="0" xfId="1" applyNumberFormat="1" applyFont="1" applyFill="1"/>
    <xf numFmtId="0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071FB-5ECE-4F61-BB9A-CD3EB6AAE21E}">
  <dimension ref="B2:AI50"/>
  <sheetViews>
    <sheetView tabSelected="1" topLeftCell="D1" zoomScaleNormal="100" workbookViewId="0">
      <selection activeCell="M17" sqref="M17"/>
    </sheetView>
  </sheetViews>
  <sheetFormatPr baseColWidth="10" defaultRowHeight="14.5" x14ac:dyDescent="0.35"/>
  <cols>
    <col min="2" max="2" width="19.54296875" customWidth="1"/>
    <col min="3" max="3" width="15.81640625" customWidth="1"/>
    <col min="4" max="4" width="15.1796875" customWidth="1"/>
    <col min="5" max="5" width="15.453125" customWidth="1"/>
    <col min="6" max="6" width="14.26953125" customWidth="1"/>
    <col min="7" max="7" width="14.453125" customWidth="1"/>
    <col min="8" max="8" width="13.7265625" customWidth="1"/>
    <col min="26" max="26" width="10.90625" style="23"/>
  </cols>
  <sheetData>
    <row r="2" spans="2:11" x14ac:dyDescent="0.35">
      <c r="B2" s="4"/>
      <c r="C2" s="6" t="s">
        <v>20</v>
      </c>
      <c r="D2" s="6" t="s">
        <v>21</v>
      </c>
      <c r="G2" s="4"/>
      <c r="H2" s="6" t="s">
        <v>27</v>
      </c>
      <c r="I2" s="16" t="s">
        <v>22</v>
      </c>
      <c r="K2" t="s">
        <v>30</v>
      </c>
    </row>
    <row r="3" spans="2:11" x14ac:dyDescent="0.35">
      <c r="B3" s="7" t="s">
        <v>7</v>
      </c>
      <c r="C3" s="8">
        <v>399.59999999999997</v>
      </c>
      <c r="D3" s="5">
        <f>0.5468*1000</f>
        <v>546.79999999999995</v>
      </c>
      <c r="G3" s="4"/>
      <c r="H3" s="26">
        <f>1000*0.3996</f>
        <v>399.6</v>
      </c>
      <c r="I3" s="17">
        <f>1-H3/C3</f>
        <v>0</v>
      </c>
      <c r="K3" s="26">
        <f>1000*0.3996</f>
        <v>399.6</v>
      </c>
    </row>
    <row r="4" spans="2:11" x14ac:dyDescent="0.35">
      <c r="B4" s="7" t="s">
        <v>8</v>
      </c>
      <c r="C4" s="8">
        <v>440.76</v>
      </c>
      <c r="D4" s="5">
        <f>0.5468*1000</f>
        <v>546.79999999999995</v>
      </c>
      <c r="G4" s="4"/>
      <c r="H4" s="26">
        <f>1000*0.4407</f>
        <v>440.7</v>
      </c>
      <c r="I4" s="17">
        <f>1-H4/C4</f>
        <v>1.3612850530897447E-4</v>
      </c>
      <c r="K4" s="26">
        <f>1000*0.4407</f>
        <v>440.7</v>
      </c>
    </row>
    <row r="5" spans="2:11" x14ac:dyDescent="0.35">
      <c r="B5" s="7" t="s">
        <v>9</v>
      </c>
      <c r="C5" s="8">
        <v>464.08799999999997</v>
      </c>
      <c r="D5" s="5">
        <f>0.5468*1000</f>
        <v>546.79999999999995</v>
      </c>
      <c r="G5" s="4"/>
      <c r="H5" s="26">
        <f>1000*0.4641</f>
        <v>464.1</v>
      </c>
      <c r="I5" s="17">
        <f>1-H5/C5</f>
        <v>-2.585716502045976E-5</v>
      </c>
      <c r="K5" s="26">
        <f>1000*0.4641</f>
        <v>464.1</v>
      </c>
    </row>
    <row r="6" spans="2:11" x14ac:dyDescent="0.35">
      <c r="B6" s="7" t="s">
        <v>10</v>
      </c>
      <c r="C6" s="8">
        <v>440.64</v>
      </c>
      <c r="D6" s="5">
        <f>0.5468*1000</f>
        <v>546.79999999999995</v>
      </c>
      <c r="G6" s="4"/>
      <c r="H6" s="26">
        <f>1000*0.4406</f>
        <v>440.59999999999997</v>
      </c>
      <c r="I6" s="17">
        <f>1-H6/C6</f>
        <v>9.0777051561463651E-5</v>
      </c>
      <c r="K6" s="26">
        <f>1000*0.4406</f>
        <v>440.59999999999997</v>
      </c>
    </row>
    <row r="7" spans="2:11" x14ac:dyDescent="0.35">
      <c r="B7" s="7" t="s">
        <v>11</v>
      </c>
      <c r="C7" s="8">
        <v>512.94599999999991</v>
      </c>
      <c r="D7" s="5">
        <f>0.282*1000</f>
        <v>282</v>
      </c>
      <c r="G7" s="4"/>
      <c r="H7" s="27">
        <v>514.30000000000052</v>
      </c>
      <c r="I7" s="17">
        <f t="shared" ref="I7:I10" si="0">1-H7/C7</f>
        <v>-2.6396540766486787E-3</v>
      </c>
      <c r="K7" s="32">
        <f>1000*0.5137</f>
        <v>513.70000000000005</v>
      </c>
    </row>
    <row r="8" spans="2:11" x14ac:dyDescent="0.35">
      <c r="B8" s="7" t="s">
        <v>12</v>
      </c>
      <c r="C8" s="8">
        <v>381.87900000000002</v>
      </c>
      <c r="D8" s="5">
        <f>0.2037*1000</f>
        <v>203.7</v>
      </c>
      <c r="G8" s="4"/>
      <c r="H8" s="27">
        <v>370.45000000000033</v>
      </c>
      <c r="I8" s="17">
        <f t="shared" si="0"/>
        <v>2.9928328082978295E-2</v>
      </c>
      <c r="K8" s="33">
        <f>1000*0.371</f>
        <v>371</v>
      </c>
    </row>
    <row r="9" spans="2:11" x14ac:dyDescent="0.35">
      <c r="B9" s="9" t="s">
        <v>13</v>
      </c>
      <c r="C9" s="8">
        <v>406.68</v>
      </c>
      <c r="D9" s="5">
        <f>0.2109*1000</f>
        <v>210.9</v>
      </c>
      <c r="G9" s="4"/>
      <c r="H9" s="27">
        <v>450</v>
      </c>
      <c r="I9" s="17">
        <f t="shared" si="0"/>
        <v>-0.10652109766892881</v>
      </c>
      <c r="K9" s="33">
        <v>450</v>
      </c>
    </row>
    <row r="10" spans="2:11" x14ac:dyDescent="0.35">
      <c r="B10" s="9" t="s">
        <v>14</v>
      </c>
      <c r="C10" s="8">
        <v>538.24799999999993</v>
      </c>
      <c r="D10" s="5">
        <f>0.3167*1000</f>
        <v>316.7</v>
      </c>
      <c r="G10" s="4"/>
      <c r="H10" s="27">
        <v>576.60000000000025</v>
      </c>
      <c r="I10" s="17">
        <f t="shared" si="0"/>
        <v>-7.1253399919740223E-2</v>
      </c>
      <c r="K10" s="33">
        <f>1000*0.5769</f>
        <v>576.9</v>
      </c>
    </row>
    <row r="11" spans="2:11" x14ac:dyDescent="0.35">
      <c r="B11" s="9" t="s">
        <v>16</v>
      </c>
      <c r="C11" s="5">
        <f>55+50+79+41</f>
        <v>225</v>
      </c>
      <c r="D11" s="5">
        <v>0</v>
      </c>
      <c r="G11" s="4"/>
      <c r="H11" s="4"/>
      <c r="I11" s="4"/>
    </row>
    <row r="12" spans="2:11" x14ac:dyDescent="0.35">
      <c r="B12" s="10" t="s">
        <v>15</v>
      </c>
      <c r="C12" s="11">
        <f>SUM(C3:C11)</f>
        <v>3809.8409999999994</v>
      </c>
      <c r="D12" s="11">
        <f>SUM(D3:D11)</f>
        <v>3200.4999999999995</v>
      </c>
      <c r="E12" s="4"/>
      <c r="F12" s="4"/>
      <c r="G12" s="4"/>
      <c r="H12" s="4">
        <f>SUM(H3:H10)</f>
        <v>3656.3500000000013</v>
      </c>
      <c r="K12">
        <f>SUM(K3:K10)</f>
        <v>3656.6</v>
      </c>
    </row>
    <row r="13" spans="2:11" x14ac:dyDescent="0.35">
      <c r="B13" s="4"/>
      <c r="C13" s="4"/>
      <c r="D13" s="4"/>
      <c r="E13" s="4"/>
      <c r="F13" s="4"/>
      <c r="G13" s="4" t="s">
        <v>29</v>
      </c>
      <c r="H13" s="30">
        <f>1-H12/C12</f>
        <v>4.0288033017650382E-2</v>
      </c>
      <c r="J13" t="s">
        <v>31</v>
      </c>
      <c r="K13" s="29">
        <f>1-K12/C12</f>
        <v>4.0222413481297403E-2</v>
      </c>
    </row>
    <row r="14" spans="2:11" x14ac:dyDescent="0.35">
      <c r="B14" s="4"/>
      <c r="C14" s="4"/>
      <c r="D14" s="4"/>
      <c r="E14" s="4"/>
      <c r="F14" s="4"/>
      <c r="G14" s="4"/>
      <c r="H14" s="4"/>
      <c r="K14" s="28"/>
    </row>
    <row r="15" spans="2:11" x14ac:dyDescent="0.35">
      <c r="B15" s="12" t="s">
        <v>0</v>
      </c>
      <c r="C15" s="13" t="s">
        <v>1</v>
      </c>
      <c r="D15" s="13" t="s">
        <v>2</v>
      </c>
      <c r="E15" s="13" t="s">
        <v>3</v>
      </c>
      <c r="F15" s="13" t="s">
        <v>5</v>
      </c>
      <c r="G15" s="13" t="s">
        <v>4</v>
      </c>
      <c r="H15" s="13" t="s">
        <v>6</v>
      </c>
    </row>
    <row r="16" spans="2:11" x14ac:dyDescent="0.35">
      <c r="B16" s="14" t="s">
        <v>18</v>
      </c>
      <c r="C16" s="4">
        <v>2800</v>
      </c>
      <c r="D16" s="4">
        <v>2800</v>
      </c>
      <c r="E16" s="4">
        <v>9929.2266</v>
      </c>
      <c r="F16" s="4">
        <v>9929.2266</v>
      </c>
      <c r="G16" s="4">
        <v>9929.2266</v>
      </c>
      <c r="H16" s="4">
        <v>9929.2266</v>
      </c>
    </row>
    <row r="17" spans="2:35" x14ac:dyDescent="0.35">
      <c r="B17" s="14" t="s">
        <v>19</v>
      </c>
      <c r="C17" s="4">
        <v>3000</v>
      </c>
      <c r="D17" s="4"/>
      <c r="E17" s="4"/>
      <c r="F17" s="4"/>
      <c r="G17" s="4"/>
      <c r="H17" s="4"/>
    </row>
    <row r="20" spans="2:35" x14ac:dyDescent="0.35">
      <c r="C20" s="2"/>
    </row>
    <row r="21" spans="2:35" x14ac:dyDescent="0.35">
      <c r="B21" s="15" t="s">
        <v>17</v>
      </c>
      <c r="C21" s="15">
        <v>5100</v>
      </c>
      <c r="D21" s="15">
        <v>7610</v>
      </c>
      <c r="E21" s="15">
        <v>8427.2767270314562</v>
      </c>
      <c r="F21" s="15">
        <f>C4*F16/D4</f>
        <v>8003.6684641843458</v>
      </c>
      <c r="G21" s="15">
        <f>C6*G16/D6</f>
        <v>8001.48940933431</v>
      </c>
      <c r="H21" s="15">
        <f>C3*H16/D3</f>
        <v>7256.2526506217991</v>
      </c>
    </row>
    <row r="24" spans="2:35" x14ac:dyDescent="0.35">
      <c r="C24" s="1">
        <v>2800</v>
      </c>
      <c r="D24" s="1">
        <v>2900</v>
      </c>
      <c r="E24" s="1">
        <v>3000</v>
      </c>
      <c r="F24" s="1">
        <v>3100</v>
      </c>
      <c r="G24" s="1">
        <v>3200</v>
      </c>
      <c r="H24" s="1">
        <v>3300</v>
      </c>
      <c r="I24" s="1">
        <v>3400</v>
      </c>
      <c r="J24" s="1">
        <v>3500</v>
      </c>
      <c r="K24" s="1">
        <v>3600</v>
      </c>
      <c r="L24" s="1">
        <v>3700</v>
      </c>
      <c r="M24" s="1">
        <v>3800</v>
      </c>
      <c r="N24" s="1">
        <v>3900</v>
      </c>
      <c r="O24" s="1">
        <v>4000</v>
      </c>
      <c r="P24" s="1">
        <v>4100</v>
      </c>
      <c r="Q24" s="1">
        <v>4200</v>
      </c>
      <c r="R24" s="1">
        <v>4300</v>
      </c>
      <c r="S24" s="1">
        <v>4400</v>
      </c>
      <c r="T24" s="1">
        <v>4500</v>
      </c>
      <c r="U24" s="1">
        <v>4600</v>
      </c>
      <c r="V24" s="1">
        <v>4700</v>
      </c>
      <c r="W24" s="1">
        <v>4800</v>
      </c>
      <c r="X24" s="1">
        <v>4900</v>
      </c>
      <c r="Y24" s="1">
        <v>5000</v>
      </c>
      <c r="Z24" s="24">
        <v>5100</v>
      </c>
      <c r="AA24" s="1">
        <v>5200</v>
      </c>
      <c r="AB24" s="1">
        <v>5300</v>
      </c>
      <c r="AC24" s="1">
        <v>5400</v>
      </c>
      <c r="AD24" s="1">
        <v>5500</v>
      </c>
      <c r="AE24" s="1">
        <v>5600</v>
      </c>
      <c r="AF24" s="1">
        <v>5700</v>
      </c>
      <c r="AG24" s="1">
        <v>5800</v>
      </c>
      <c r="AH24" s="1">
        <v>5900</v>
      </c>
      <c r="AI24" s="1">
        <v>6000</v>
      </c>
    </row>
    <row r="25" spans="2:35" x14ac:dyDescent="0.35">
      <c r="B25" s="19" t="s">
        <v>23</v>
      </c>
      <c r="C25" s="18">
        <f>0.282*1000</f>
        <v>282</v>
      </c>
      <c r="E25" s="4">
        <f>1000*0.3022</f>
        <v>302.20000000000005</v>
      </c>
      <c r="F25">
        <f>$C25+($E25-$C25)/200*(F$24-$C$24)</f>
        <v>312.30000000000007</v>
      </c>
      <c r="G25" s="3">
        <f>$C25+($E25-$C25)/200*(G$24-$C$24)</f>
        <v>322.40000000000009</v>
      </c>
      <c r="H25" s="3">
        <f>$C25+($E25-$C25)/200*(H$24-$C$24)</f>
        <v>332.50000000000011</v>
      </c>
      <c r="I25" s="3">
        <f>$C25+($E25-$C25)/200*(I$24-$C$24)</f>
        <v>342.60000000000014</v>
      </c>
      <c r="J25" s="3">
        <f t="shared" ref="J25:AI28" si="1">$C25+($E25-$C25)/200*(J$24-$C$24)</f>
        <v>352.70000000000016</v>
      </c>
      <c r="K25" s="3">
        <f t="shared" si="1"/>
        <v>362.80000000000018</v>
      </c>
      <c r="L25" s="3">
        <f t="shared" si="1"/>
        <v>372.9000000000002</v>
      </c>
      <c r="M25" s="3">
        <f t="shared" si="1"/>
        <v>383.00000000000023</v>
      </c>
      <c r="N25" s="3">
        <f t="shared" si="1"/>
        <v>393.10000000000025</v>
      </c>
      <c r="O25" s="3">
        <f t="shared" si="1"/>
        <v>403.20000000000027</v>
      </c>
      <c r="P25" s="3">
        <f t="shared" si="1"/>
        <v>413.3000000000003</v>
      </c>
      <c r="Q25" s="3">
        <f t="shared" si="1"/>
        <v>423.40000000000032</v>
      </c>
      <c r="R25" s="3">
        <f t="shared" si="1"/>
        <v>433.50000000000034</v>
      </c>
      <c r="S25" s="3">
        <f t="shared" si="1"/>
        <v>443.60000000000036</v>
      </c>
      <c r="T25" s="3">
        <f t="shared" si="1"/>
        <v>453.70000000000039</v>
      </c>
      <c r="U25" s="3">
        <f t="shared" si="1"/>
        <v>463.80000000000041</v>
      </c>
      <c r="V25" s="3">
        <f t="shared" si="1"/>
        <v>473.90000000000043</v>
      </c>
      <c r="W25" s="3">
        <f t="shared" si="1"/>
        <v>484.00000000000045</v>
      </c>
      <c r="X25" s="3">
        <f t="shared" si="1"/>
        <v>494.10000000000048</v>
      </c>
      <c r="Y25" s="3">
        <f t="shared" si="1"/>
        <v>504.2000000000005</v>
      </c>
      <c r="Z25" s="23">
        <v>514.30000000000052</v>
      </c>
      <c r="AA25" s="3">
        <f t="shared" si="1"/>
        <v>524.40000000000055</v>
      </c>
      <c r="AB25" s="3">
        <f t="shared" si="1"/>
        <v>534.50000000000057</v>
      </c>
      <c r="AC25" s="3">
        <f t="shared" si="1"/>
        <v>544.60000000000059</v>
      </c>
      <c r="AD25" s="3">
        <f t="shared" si="1"/>
        <v>554.70000000000061</v>
      </c>
      <c r="AE25" s="3">
        <f t="shared" si="1"/>
        <v>564.80000000000064</v>
      </c>
      <c r="AF25" s="3">
        <f t="shared" si="1"/>
        <v>574.90000000000066</v>
      </c>
      <c r="AG25" s="3">
        <f t="shared" si="1"/>
        <v>585.00000000000068</v>
      </c>
      <c r="AH25" s="3">
        <f t="shared" si="1"/>
        <v>595.1000000000007</v>
      </c>
      <c r="AI25" s="3">
        <f t="shared" si="1"/>
        <v>605.20000000000073</v>
      </c>
    </row>
    <row r="26" spans="2:35" x14ac:dyDescent="0.35">
      <c r="B26" s="19" t="s">
        <v>24</v>
      </c>
      <c r="C26" s="5">
        <f>0.2037*1000</f>
        <v>203.7</v>
      </c>
      <c r="E26" s="4">
        <f>1000*0.2182</f>
        <v>218.20000000000002</v>
      </c>
      <c r="F26" s="3">
        <f t="shared" ref="F26:F28" si="2">$C26+($E26-$C26)/200*(F$24-$C$24)</f>
        <v>225.45000000000005</v>
      </c>
      <c r="G26" s="3">
        <f t="shared" ref="G25:U28" si="3">$C26+($E26-$C26)/200*(G$24-$C$24)</f>
        <v>232.70000000000005</v>
      </c>
      <c r="H26" s="3">
        <f t="shared" si="3"/>
        <v>239.95000000000005</v>
      </c>
      <c r="I26" s="3">
        <f t="shared" si="3"/>
        <v>247.20000000000007</v>
      </c>
      <c r="J26" s="3">
        <f t="shared" si="1"/>
        <v>254.4500000000001</v>
      </c>
      <c r="K26" s="3">
        <f t="shared" si="3"/>
        <v>261.7000000000001</v>
      </c>
      <c r="L26" s="3">
        <f t="shared" si="3"/>
        <v>268.9500000000001</v>
      </c>
      <c r="M26" s="3">
        <f t="shared" si="3"/>
        <v>276.20000000000016</v>
      </c>
      <c r="N26" s="3">
        <f t="shared" si="1"/>
        <v>283.45000000000016</v>
      </c>
      <c r="O26" s="3">
        <f t="shared" si="3"/>
        <v>290.70000000000016</v>
      </c>
      <c r="P26" s="3">
        <f t="shared" si="3"/>
        <v>297.95000000000016</v>
      </c>
      <c r="Q26" s="3">
        <f t="shared" si="3"/>
        <v>305.20000000000022</v>
      </c>
      <c r="R26" s="3">
        <f t="shared" si="1"/>
        <v>312.45000000000022</v>
      </c>
      <c r="S26" s="3">
        <f t="shared" si="3"/>
        <v>319.70000000000022</v>
      </c>
      <c r="T26" s="3">
        <f t="shared" si="3"/>
        <v>326.95000000000027</v>
      </c>
      <c r="U26" s="3">
        <f t="shared" si="3"/>
        <v>334.20000000000027</v>
      </c>
      <c r="V26" s="3">
        <f t="shared" si="1"/>
        <v>341.45000000000027</v>
      </c>
      <c r="W26" s="3">
        <f t="shared" si="1"/>
        <v>348.70000000000027</v>
      </c>
      <c r="X26" s="3">
        <f t="shared" si="1"/>
        <v>355.95000000000027</v>
      </c>
      <c r="Y26" s="3">
        <f t="shared" si="1"/>
        <v>363.20000000000027</v>
      </c>
      <c r="Z26" s="23">
        <v>370.45000000000033</v>
      </c>
      <c r="AA26" s="3">
        <f t="shared" si="1"/>
        <v>377.70000000000033</v>
      </c>
      <c r="AB26" s="3">
        <f t="shared" si="1"/>
        <v>384.95000000000039</v>
      </c>
      <c r="AC26" s="3">
        <f t="shared" si="1"/>
        <v>392.20000000000039</v>
      </c>
      <c r="AD26" s="3">
        <f t="shared" si="1"/>
        <v>399.45000000000039</v>
      </c>
      <c r="AE26" s="3">
        <f t="shared" si="1"/>
        <v>406.70000000000039</v>
      </c>
      <c r="AF26" s="3">
        <f t="shared" si="1"/>
        <v>413.95000000000039</v>
      </c>
      <c r="AG26" s="3">
        <f t="shared" si="1"/>
        <v>421.20000000000044</v>
      </c>
      <c r="AH26" s="3">
        <f t="shared" si="1"/>
        <v>428.45000000000044</v>
      </c>
      <c r="AI26" s="3">
        <f t="shared" si="1"/>
        <v>435.7000000000005</v>
      </c>
    </row>
    <row r="27" spans="2:35" x14ac:dyDescent="0.35">
      <c r="B27" s="19" t="s">
        <v>25</v>
      </c>
      <c r="C27" s="5">
        <v>450</v>
      </c>
      <c r="E27" s="4">
        <f>C27</f>
        <v>450</v>
      </c>
      <c r="F27" s="3">
        <f t="shared" si="2"/>
        <v>450</v>
      </c>
      <c r="G27" s="3">
        <f t="shared" si="3"/>
        <v>450</v>
      </c>
      <c r="H27" s="3">
        <f t="shared" si="3"/>
        <v>450</v>
      </c>
      <c r="I27" s="3">
        <f t="shared" si="3"/>
        <v>450</v>
      </c>
      <c r="J27" s="3">
        <f t="shared" si="1"/>
        <v>450</v>
      </c>
      <c r="K27" s="3">
        <f t="shared" si="1"/>
        <v>450</v>
      </c>
      <c r="L27" s="3">
        <f t="shared" si="1"/>
        <v>450</v>
      </c>
      <c r="M27" s="3">
        <f t="shared" si="1"/>
        <v>450</v>
      </c>
      <c r="N27" s="3">
        <f t="shared" si="1"/>
        <v>450</v>
      </c>
      <c r="O27" s="3">
        <f t="shared" si="1"/>
        <v>450</v>
      </c>
      <c r="P27" s="3">
        <f t="shared" si="1"/>
        <v>450</v>
      </c>
      <c r="Q27" s="3">
        <f t="shared" si="1"/>
        <v>450</v>
      </c>
      <c r="R27" s="3">
        <f t="shared" si="1"/>
        <v>450</v>
      </c>
      <c r="S27" s="3">
        <f t="shared" si="1"/>
        <v>450</v>
      </c>
      <c r="T27" s="3">
        <f t="shared" si="1"/>
        <v>450</v>
      </c>
      <c r="U27" s="3">
        <f t="shared" si="1"/>
        <v>450</v>
      </c>
      <c r="V27" s="3">
        <f t="shared" si="1"/>
        <v>450</v>
      </c>
      <c r="W27" s="3">
        <f t="shared" si="1"/>
        <v>450</v>
      </c>
      <c r="X27" s="3">
        <f t="shared" si="1"/>
        <v>450</v>
      </c>
      <c r="Y27" s="3">
        <f t="shared" si="1"/>
        <v>450</v>
      </c>
      <c r="Z27" s="23">
        <v>450</v>
      </c>
      <c r="AA27" s="3">
        <f t="shared" si="1"/>
        <v>450</v>
      </c>
      <c r="AB27" s="3">
        <f t="shared" si="1"/>
        <v>450</v>
      </c>
      <c r="AC27" s="3">
        <f t="shared" si="1"/>
        <v>450</v>
      </c>
      <c r="AD27" s="3">
        <f t="shared" si="1"/>
        <v>450</v>
      </c>
      <c r="AE27" s="3">
        <f t="shared" si="1"/>
        <v>450</v>
      </c>
      <c r="AF27" s="3">
        <f t="shared" si="1"/>
        <v>450</v>
      </c>
      <c r="AG27" s="3">
        <f t="shared" si="1"/>
        <v>450</v>
      </c>
      <c r="AH27" s="3">
        <f t="shared" si="1"/>
        <v>450</v>
      </c>
      <c r="AI27" s="3">
        <f t="shared" si="1"/>
        <v>450</v>
      </c>
    </row>
    <row r="28" spans="2:35" x14ac:dyDescent="0.35">
      <c r="B28" s="19" t="s">
        <v>26</v>
      </c>
      <c r="C28" s="5">
        <f>0.3167*1000</f>
        <v>316.7</v>
      </c>
      <c r="E28" s="4">
        <f>1000*0.3393</f>
        <v>339.3</v>
      </c>
      <c r="F28" s="3">
        <f t="shared" si="2"/>
        <v>350.6</v>
      </c>
      <c r="G28" s="3">
        <f t="shared" si="3"/>
        <v>361.90000000000003</v>
      </c>
      <c r="H28" s="3">
        <f t="shared" si="3"/>
        <v>373.20000000000005</v>
      </c>
      <c r="I28" s="3">
        <f t="shared" si="3"/>
        <v>384.50000000000006</v>
      </c>
      <c r="J28" s="3">
        <f t="shared" si="1"/>
        <v>395.80000000000007</v>
      </c>
      <c r="K28" s="3">
        <f t="shared" si="1"/>
        <v>407.10000000000008</v>
      </c>
      <c r="L28" s="3">
        <f t="shared" si="1"/>
        <v>418.40000000000009</v>
      </c>
      <c r="M28" s="3">
        <f t="shared" si="1"/>
        <v>429.7000000000001</v>
      </c>
      <c r="N28" s="3">
        <f t="shared" si="1"/>
        <v>441.00000000000011</v>
      </c>
      <c r="O28" s="3">
        <f t="shared" si="1"/>
        <v>452.30000000000013</v>
      </c>
      <c r="P28" s="3">
        <f t="shared" si="1"/>
        <v>463.60000000000014</v>
      </c>
      <c r="Q28" s="3">
        <f t="shared" si="1"/>
        <v>474.90000000000015</v>
      </c>
      <c r="R28" s="3">
        <f t="shared" si="1"/>
        <v>486.20000000000016</v>
      </c>
      <c r="S28" s="3">
        <f t="shared" si="1"/>
        <v>497.50000000000017</v>
      </c>
      <c r="T28" s="3">
        <f t="shared" si="1"/>
        <v>508.80000000000018</v>
      </c>
      <c r="U28" s="3">
        <f t="shared" si="1"/>
        <v>520.10000000000014</v>
      </c>
      <c r="V28" s="3">
        <f t="shared" si="1"/>
        <v>531.4000000000002</v>
      </c>
      <c r="W28" s="3">
        <f t="shared" si="1"/>
        <v>542.70000000000027</v>
      </c>
      <c r="X28" s="3">
        <f t="shared" si="1"/>
        <v>554.00000000000023</v>
      </c>
      <c r="Y28" s="3">
        <f t="shared" si="1"/>
        <v>565.30000000000018</v>
      </c>
      <c r="Z28" s="23">
        <v>576.60000000000025</v>
      </c>
      <c r="AA28" s="3">
        <f t="shared" si="1"/>
        <v>587.90000000000032</v>
      </c>
      <c r="AB28" s="3">
        <f t="shared" si="1"/>
        <v>599.20000000000027</v>
      </c>
      <c r="AC28" s="3">
        <f t="shared" si="1"/>
        <v>610.50000000000023</v>
      </c>
      <c r="AD28" s="3">
        <f t="shared" si="1"/>
        <v>621.8000000000003</v>
      </c>
      <c r="AE28" s="3">
        <f t="shared" si="1"/>
        <v>633.10000000000036</v>
      </c>
      <c r="AF28" s="3">
        <f t="shared" si="1"/>
        <v>644.40000000000032</v>
      </c>
      <c r="AG28" s="3">
        <f t="shared" si="1"/>
        <v>655.70000000000027</v>
      </c>
      <c r="AH28" s="3">
        <f t="shared" si="1"/>
        <v>667.00000000000034</v>
      </c>
      <c r="AI28" s="3">
        <f t="shared" si="1"/>
        <v>678.30000000000041</v>
      </c>
    </row>
    <row r="32" spans="2:35" x14ac:dyDescent="0.35">
      <c r="C32" s="1">
        <v>2800</v>
      </c>
      <c r="D32" s="1">
        <v>2900</v>
      </c>
      <c r="E32" s="1">
        <v>3000</v>
      </c>
      <c r="F32" s="1">
        <v>3100</v>
      </c>
      <c r="G32" s="1">
        <v>3200</v>
      </c>
      <c r="H32" s="1">
        <v>3300</v>
      </c>
      <c r="I32" s="1">
        <v>3400</v>
      </c>
      <c r="J32" s="1">
        <v>3500</v>
      </c>
      <c r="K32" s="1">
        <v>3600</v>
      </c>
      <c r="L32" s="1">
        <v>3700</v>
      </c>
      <c r="M32" s="1">
        <v>3800</v>
      </c>
      <c r="N32" s="1">
        <v>3900</v>
      </c>
      <c r="O32" s="1">
        <v>4000</v>
      </c>
      <c r="P32" s="1">
        <v>4100</v>
      </c>
      <c r="Q32" s="1">
        <v>4200</v>
      </c>
      <c r="R32" s="1">
        <v>4300</v>
      </c>
      <c r="S32" s="1">
        <v>4400</v>
      </c>
      <c r="T32" s="1">
        <v>4500</v>
      </c>
      <c r="U32" s="1">
        <v>4600</v>
      </c>
      <c r="V32" s="1">
        <v>4700</v>
      </c>
      <c r="W32" s="1">
        <v>4800</v>
      </c>
      <c r="X32" s="1">
        <v>4900</v>
      </c>
      <c r="Y32" s="1">
        <v>5000</v>
      </c>
      <c r="Z32" s="24">
        <v>5100</v>
      </c>
      <c r="AA32" s="1">
        <v>5200</v>
      </c>
      <c r="AB32" s="1">
        <v>5300</v>
      </c>
      <c r="AC32" s="1">
        <v>5400</v>
      </c>
      <c r="AD32" s="1">
        <v>5500</v>
      </c>
      <c r="AE32" s="1">
        <v>5600</v>
      </c>
      <c r="AF32" s="1">
        <v>5700</v>
      </c>
      <c r="AG32" s="1">
        <v>5800</v>
      </c>
      <c r="AH32" s="1">
        <v>5900</v>
      </c>
      <c r="AI32" s="1">
        <v>6000</v>
      </c>
    </row>
    <row r="33" spans="2:35" x14ac:dyDescent="0.35">
      <c r="B33" s="19" t="s">
        <v>23</v>
      </c>
      <c r="C33">
        <f>$H3+C25</f>
        <v>681.6</v>
      </c>
      <c r="D33" s="3">
        <f t="shared" ref="D33:AI33" si="4">$H3+D25</f>
        <v>399.6</v>
      </c>
      <c r="E33" s="3">
        <f t="shared" si="4"/>
        <v>701.80000000000007</v>
      </c>
      <c r="F33" s="3">
        <f t="shared" si="4"/>
        <v>711.90000000000009</v>
      </c>
      <c r="G33" s="3">
        <f t="shared" si="4"/>
        <v>722.00000000000011</v>
      </c>
      <c r="H33" s="3">
        <f t="shared" si="4"/>
        <v>732.10000000000014</v>
      </c>
      <c r="I33" s="3">
        <f t="shared" si="4"/>
        <v>742.20000000000016</v>
      </c>
      <c r="J33" s="3">
        <f t="shared" si="4"/>
        <v>752.30000000000018</v>
      </c>
      <c r="K33" s="3">
        <f t="shared" si="4"/>
        <v>762.4000000000002</v>
      </c>
      <c r="L33" s="3">
        <f t="shared" si="4"/>
        <v>772.50000000000023</v>
      </c>
      <c r="M33" s="3">
        <f t="shared" si="4"/>
        <v>782.60000000000025</v>
      </c>
      <c r="N33" s="3">
        <f t="shared" si="4"/>
        <v>792.70000000000027</v>
      </c>
      <c r="O33" s="3">
        <f t="shared" si="4"/>
        <v>802.8000000000003</v>
      </c>
      <c r="P33" s="3">
        <f t="shared" si="4"/>
        <v>812.90000000000032</v>
      </c>
      <c r="Q33" s="3">
        <f t="shared" si="4"/>
        <v>823.00000000000034</v>
      </c>
      <c r="R33" s="3">
        <f t="shared" si="4"/>
        <v>833.10000000000036</v>
      </c>
      <c r="S33" s="3">
        <f t="shared" si="4"/>
        <v>843.20000000000039</v>
      </c>
      <c r="T33" s="3">
        <f t="shared" si="4"/>
        <v>853.30000000000041</v>
      </c>
      <c r="U33" s="3">
        <f t="shared" si="4"/>
        <v>863.40000000000043</v>
      </c>
      <c r="V33" s="3">
        <f t="shared" si="4"/>
        <v>873.50000000000045</v>
      </c>
      <c r="W33" s="3">
        <f t="shared" si="4"/>
        <v>883.60000000000048</v>
      </c>
      <c r="X33" s="3">
        <f t="shared" si="4"/>
        <v>893.7000000000005</v>
      </c>
      <c r="Y33" s="3">
        <f t="shared" si="4"/>
        <v>903.80000000000052</v>
      </c>
      <c r="Z33" s="23">
        <f t="shared" si="4"/>
        <v>913.90000000000055</v>
      </c>
      <c r="AA33" s="3">
        <f t="shared" si="4"/>
        <v>924.00000000000057</v>
      </c>
      <c r="AB33" s="3">
        <f t="shared" si="4"/>
        <v>934.10000000000059</v>
      </c>
      <c r="AC33" s="3">
        <f t="shared" si="4"/>
        <v>944.20000000000061</v>
      </c>
      <c r="AD33" s="3">
        <f t="shared" si="4"/>
        <v>954.30000000000064</v>
      </c>
      <c r="AE33" s="3">
        <f t="shared" si="4"/>
        <v>964.40000000000066</v>
      </c>
      <c r="AF33" s="3">
        <f t="shared" si="4"/>
        <v>974.50000000000068</v>
      </c>
      <c r="AG33" s="3">
        <f t="shared" si="4"/>
        <v>984.6000000000007</v>
      </c>
      <c r="AH33" s="3">
        <f t="shared" si="4"/>
        <v>994.70000000000073</v>
      </c>
      <c r="AI33" s="3">
        <f t="shared" si="4"/>
        <v>1004.8000000000008</v>
      </c>
    </row>
    <row r="34" spans="2:35" x14ac:dyDescent="0.35">
      <c r="B34" s="19" t="s">
        <v>24</v>
      </c>
      <c r="C34" s="3">
        <f t="shared" ref="C34:AI34" si="5">$H4+C26</f>
        <v>644.4</v>
      </c>
      <c r="D34" s="3">
        <f t="shared" si="5"/>
        <v>440.7</v>
      </c>
      <c r="E34" s="3">
        <f t="shared" si="5"/>
        <v>658.9</v>
      </c>
      <c r="F34" s="3">
        <f t="shared" si="5"/>
        <v>666.15000000000009</v>
      </c>
      <c r="G34" s="3">
        <f t="shared" si="5"/>
        <v>673.40000000000009</v>
      </c>
      <c r="H34" s="3">
        <f t="shared" si="5"/>
        <v>680.65000000000009</v>
      </c>
      <c r="I34" s="3">
        <f t="shared" si="5"/>
        <v>687.90000000000009</v>
      </c>
      <c r="J34" s="3">
        <f t="shared" si="5"/>
        <v>695.15000000000009</v>
      </c>
      <c r="K34" s="3">
        <f t="shared" si="5"/>
        <v>702.40000000000009</v>
      </c>
      <c r="L34" s="3">
        <f t="shared" si="5"/>
        <v>709.65000000000009</v>
      </c>
      <c r="M34" s="3">
        <f t="shared" si="5"/>
        <v>716.90000000000009</v>
      </c>
      <c r="N34" s="3">
        <f t="shared" si="5"/>
        <v>724.15000000000009</v>
      </c>
      <c r="O34" s="3">
        <f t="shared" si="5"/>
        <v>731.40000000000009</v>
      </c>
      <c r="P34" s="3">
        <f t="shared" si="5"/>
        <v>738.65000000000009</v>
      </c>
      <c r="Q34" s="3">
        <f t="shared" si="5"/>
        <v>745.9000000000002</v>
      </c>
      <c r="R34" s="3">
        <f t="shared" si="5"/>
        <v>753.1500000000002</v>
      </c>
      <c r="S34" s="3">
        <f t="shared" si="5"/>
        <v>760.4000000000002</v>
      </c>
      <c r="T34" s="3">
        <f t="shared" si="5"/>
        <v>767.65000000000032</v>
      </c>
      <c r="U34" s="3">
        <f t="shared" si="5"/>
        <v>774.90000000000032</v>
      </c>
      <c r="V34" s="3">
        <f t="shared" si="5"/>
        <v>782.15000000000032</v>
      </c>
      <c r="W34" s="3">
        <f t="shared" si="5"/>
        <v>789.40000000000032</v>
      </c>
      <c r="X34" s="3">
        <f t="shared" si="5"/>
        <v>796.65000000000032</v>
      </c>
      <c r="Y34" s="3">
        <f t="shared" si="5"/>
        <v>803.90000000000032</v>
      </c>
      <c r="Z34" s="23">
        <f t="shared" si="5"/>
        <v>811.15000000000032</v>
      </c>
      <c r="AA34" s="3">
        <f t="shared" si="5"/>
        <v>818.40000000000032</v>
      </c>
      <c r="AB34" s="3">
        <f t="shared" si="5"/>
        <v>825.65000000000032</v>
      </c>
      <c r="AC34" s="3">
        <f t="shared" si="5"/>
        <v>832.90000000000032</v>
      </c>
      <c r="AD34" s="3">
        <f t="shared" si="5"/>
        <v>840.15000000000032</v>
      </c>
      <c r="AE34" s="3">
        <f t="shared" si="5"/>
        <v>847.40000000000032</v>
      </c>
      <c r="AF34" s="3">
        <f t="shared" si="5"/>
        <v>854.65000000000032</v>
      </c>
      <c r="AG34" s="3">
        <f t="shared" si="5"/>
        <v>861.90000000000043</v>
      </c>
      <c r="AH34" s="3">
        <f t="shared" si="5"/>
        <v>869.15000000000043</v>
      </c>
      <c r="AI34" s="3">
        <f t="shared" si="5"/>
        <v>876.40000000000055</v>
      </c>
    </row>
    <row r="35" spans="2:35" x14ac:dyDescent="0.35">
      <c r="B35" s="19" t="s">
        <v>25</v>
      </c>
      <c r="C35" s="3">
        <f t="shared" ref="C35:AI35" si="6">$H5+C27</f>
        <v>914.1</v>
      </c>
      <c r="D35" s="3">
        <f t="shared" si="6"/>
        <v>464.1</v>
      </c>
      <c r="E35" s="3">
        <f t="shared" si="6"/>
        <v>914.1</v>
      </c>
      <c r="F35" s="3">
        <f t="shared" si="6"/>
        <v>914.1</v>
      </c>
      <c r="G35" s="3">
        <f t="shared" si="6"/>
        <v>914.1</v>
      </c>
      <c r="H35" s="3">
        <f t="shared" si="6"/>
        <v>914.1</v>
      </c>
      <c r="I35" s="3">
        <f t="shared" si="6"/>
        <v>914.1</v>
      </c>
      <c r="J35" s="3">
        <f t="shared" si="6"/>
        <v>914.1</v>
      </c>
      <c r="K35" s="3">
        <f t="shared" si="6"/>
        <v>914.1</v>
      </c>
      <c r="L35" s="3">
        <f t="shared" si="6"/>
        <v>914.1</v>
      </c>
      <c r="M35" s="3">
        <f t="shared" si="6"/>
        <v>914.1</v>
      </c>
      <c r="N35" s="3">
        <f t="shared" si="6"/>
        <v>914.1</v>
      </c>
      <c r="O35" s="3">
        <f t="shared" si="6"/>
        <v>914.1</v>
      </c>
      <c r="P35" s="3">
        <f t="shared" si="6"/>
        <v>914.1</v>
      </c>
      <c r="Q35" s="3">
        <f t="shared" si="6"/>
        <v>914.1</v>
      </c>
      <c r="R35" s="3">
        <f t="shared" si="6"/>
        <v>914.1</v>
      </c>
      <c r="S35" s="3">
        <f t="shared" si="6"/>
        <v>914.1</v>
      </c>
      <c r="T35" s="3">
        <f t="shared" si="6"/>
        <v>914.1</v>
      </c>
      <c r="U35" s="3">
        <f t="shared" si="6"/>
        <v>914.1</v>
      </c>
      <c r="V35" s="3">
        <f t="shared" si="6"/>
        <v>914.1</v>
      </c>
      <c r="W35" s="3">
        <f t="shared" si="6"/>
        <v>914.1</v>
      </c>
      <c r="X35" s="3">
        <f t="shared" si="6"/>
        <v>914.1</v>
      </c>
      <c r="Y35" s="3">
        <f t="shared" si="6"/>
        <v>914.1</v>
      </c>
      <c r="Z35" s="23">
        <f t="shared" si="6"/>
        <v>914.1</v>
      </c>
      <c r="AA35" s="3">
        <f t="shared" si="6"/>
        <v>914.1</v>
      </c>
      <c r="AB35" s="3">
        <f t="shared" si="6"/>
        <v>914.1</v>
      </c>
      <c r="AC35" s="3">
        <f t="shared" si="6"/>
        <v>914.1</v>
      </c>
      <c r="AD35" s="3">
        <f t="shared" si="6"/>
        <v>914.1</v>
      </c>
      <c r="AE35" s="3">
        <f t="shared" si="6"/>
        <v>914.1</v>
      </c>
      <c r="AF35" s="3">
        <f t="shared" si="6"/>
        <v>914.1</v>
      </c>
      <c r="AG35" s="3">
        <f t="shared" si="6"/>
        <v>914.1</v>
      </c>
      <c r="AH35" s="3">
        <f t="shared" si="6"/>
        <v>914.1</v>
      </c>
      <c r="AI35" s="3">
        <f t="shared" si="6"/>
        <v>914.1</v>
      </c>
    </row>
    <row r="36" spans="2:35" x14ac:dyDescent="0.35">
      <c r="B36" s="19" t="s">
        <v>26</v>
      </c>
      <c r="C36" s="3">
        <f t="shared" ref="C36:AI36" si="7">$H6+C28</f>
        <v>757.3</v>
      </c>
      <c r="D36" s="3">
        <f t="shared" si="7"/>
        <v>440.59999999999997</v>
      </c>
      <c r="E36" s="3">
        <f t="shared" si="7"/>
        <v>779.9</v>
      </c>
      <c r="F36" s="3">
        <f t="shared" si="7"/>
        <v>791.2</v>
      </c>
      <c r="G36" s="3">
        <f t="shared" si="7"/>
        <v>802.5</v>
      </c>
      <c r="H36" s="3">
        <f t="shared" si="7"/>
        <v>813.8</v>
      </c>
      <c r="I36" s="3">
        <f t="shared" si="7"/>
        <v>825.1</v>
      </c>
      <c r="J36" s="3">
        <f t="shared" si="7"/>
        <v>836.40000000000009</v>
      </c>
      <c r="K36" s="3">
        <f t="shared" si="7"/>
        <v>847.7</v>
      </c>
      <c r="L36" s="3">
        <f t="shared" si="7"/>
        <v>859</v>
      </c>
      <c r="M36" s="3">
        <f t="shared" si="7"/>
        <v>870.30000000000007</v>
      </c>
      <c r="N36" s="3">
        <f t="shared" si="7"/>
        <v>881.60000000000014</v>
      </c>
      <c r="O36" s="3">
        <f t="shared" si="7"/>
        <v>892.90000000000009</v>
      </c>
      <c r="P36" s="3">
        <f t="shared" si="7"/>
        <v>904.2</v>
      </c>
      <c r="Q36" s="3">
        <f t="shared" si="7"/>
        <v>915.50000000000011</v>
      </c>
      <c r="R36" s="3">
        <f t="shared" si="7"/>
        <v>926.80000000000018</v>
      </c>
      <c r="S36" s="3">
        <f t="shared" si="7"/>
        <v>938.10000000000014</v>
      </c>
      <c r="T36" s="3">
        <f t="shared" si="7"/>
        <v>949.40000000000009</v>
      </c>
      <c r="U36" s="3">
        <f t="shared" si="7"/>
        <v>960.7</v>
      </c>
      <c r="V36" s="3">
        <f t="shared" si="7"/>
        <v>972.00000000000023</v>
      </c>
      <c r="W36" s="3">
        <f t="shared" si="7"/>
        <v>983.30000000000018</v>
      </c>
      <c r="X36" s="3">
        <f t="shared" si="7"/>
        <v>994.60000000000014</v>
      </c>
      <c r="Y36" s="3">
        <f t="shared" si="7"/>
        <v>1005.9000000000001</v>
      </c>
      <c r="Z36" s="23">
        <f t="shared" si="7"/>
        <v>1017.2000000000003</v>
      </c>
      <c r="AA36" s="3">
        <f t="shared" si="7"/>
        <v>1028.5000000000002</v>
      </c>
      <c r="AB36" s="3">
        <f t="shared" si="7"/>
        <v>1039.8000000000002</v>
      </c>
      <c r="AC36" s="3">
        <f t="shared" si="7"/>
        <v>1051.1000000000001</v>
      </c>
      <c r="AD36" s="3">
        <f t="shared" si="7"/>
        <v>1062.4000000000003</v>
      </c>
      <c r="AE36" s="3">
        <f t="shared" si="7"/>
        <v>1073.7000000000003</v>
      </c>
      <c r="AF36" s="3">
        <f t="shared" si="7"/>
        <v>1085.0000000000002</v>
      </c>
      <c r="AG36" s="3">
        <f t="shared" si="7"/>
        <v>1096.3000000000002</v>
      </c>
      <c r="AH36" s="3">
        <f t="shared" si="7"/>
        <v>1107.6000000000004</v>
      </c>
      <c r="AI36" s="3">
        <f t="shared" si="7"/>
        <v>1118.9000000000003</v>
      </c>
    </row>
    <row r="37" spans="2:35" x14ac:dyDescent="0.35">
      <c r="B37" s="21" t="s">
        <v>28</v>
      </c>
      <c r="C37" s="22">
        <f>SUM(C33:C36)</f>
        <v>2997.3999999999996</v>
      </c>
      <c r="D37" s="22">
        <f t="shared" ref="D37:AI37" si="8">SUM(D33:D36)</f>
        <v>1745</v>
      </c>
      <c r="E37" s="22">
        <f t="shared" si="8"/>
        <v>3054.7000000000003</v>
      </c>
      <c r="F37" s="22">
        <f t="shared" si="8"/>
        <v>3083.3500000000004</v>
      </c>
      <c r="G37" s="22">
        <f t="shared" si="8"/>
        <v>3112</v>
      </c>
      <c r="H37" s="22">
        <f t="shared" si="8"/>
        <v>3140.6500000000005</v>
      </c>
      <c r="I37" s="22">
        <f t="shared" si="8"/>
        <v>3169.3</v>
      </c>
      <c r="J37" s="22">
        <f t="shared" si="8"/>
        <v>3197.9500000000003</v>
      </c>
      <c r="K37" s="22">
        <f t="shared" si="8"/>
        <v>3226.6000000000004</v>
      </c>
      <c r="L37" s="22">
        <f t="shared" si="8"/>
        <v>3255.2500000000005</v>
      </c>
      <c r="M37" s="22">
        <f t="shared" si="8"/>
        <v>3283.9000000000005</v>
      </c>
      <c r="N37" s="22">
        <f t="shared" si="8"/>
        <v>3312.55</v>
      </c>
      <c r="O37" s="22">
        <f t="shared" si="8"/>
        <v>3341.2000000000003</v>
      </c>
      <c r="P37" s="22">
        <f t="shared" si="8"/>
        <v>3369.8500000000004</v>
      </c>
      <c r="Q37" s="22">
        <f t="shared" si="8"/>
        <v>3398.5000000000005</v>
      </c>
      <c r="R37" s="22">
        <f t="shared" si="8"/>
        <v>3427.1500000000005</v>
      </c>
      <c r="S37" s="22">
        <f t="shared" si="8"/>
        <v>3455.8000000000011</v>
      </c>
      <c r="T37" s="22">
        <f t="shared" si="8"/>
        <v>3484.4500000000007</v>
      </c>
      <c r="U37" s="22">
        <f t="shared" si="8"/>
        <v>3513.1000000000004</v>
      </c>
      <c r="V37" s="22">
        <f t="shared" si="8"/>
        <v>3541.7500000000009</v>
      </c>
      <c r="W37" s="22">
        <f t="shared" si="8"/>
        <v>3570.400000000001</v>
      </c>
      <c r="X37" s="22">
        <f t="shared" si="8"/>
        <v>3599.0500000000011</v>
      </c>
      <c r="Y37" s="22">
        <f t="shared" si="8"/>
        <v>3627.7000000000007</v>
      </c>
      <c r="Z37" s="25">
        <f t="shared" si="8"/>
        <v>3656.3500000000013</v>
      </c>
      <c r="AA37" s="22">
        <f t="shared" si="8"/>
        <v>3685.0000000000009</v>
      </c>
      <c r="AB37" s="22">
        <f t="shared" si="8"/>
        <v>3713.650000000001</v>
      </c>
      <c r="AC37" s="22">
        <f t="shared" si="8"/>
        <v>3742.3000000000011</v>
      </c>
      <c r="AD37" s="22">
        <f t="shared" si="8"/>
        <v>3770.9500000000016</v>
      </c>
      <c r="AE37" s="22">
        <f t="shared" si="8"/>
        <v>3799.6000000000013</v>
      </c>
      <c r="AF37" s="22">
        <f t="shared" si="8"/>
        <v>3828.2500000000009</v>
      </c>
      <c r="AG37" s="22">
        <f t="shared" si="8"/>
        <v>3856.9000000000015</v>
      </c>
      <c r="AH37" s="22">
        <f t="shared" si="8"/>
        <v>3885.5500000000015</v>
      </c>
      <c r="AI37" s="22">
        <f t="shared" si="8"/>
        <v>3914.2000000000016</v>
      </c>
    </row>
    <row r="39" spans="2:35" x14ac:dyDescent="0.35">
      <c r="B39" s="20" t="s">
        <v>29</v>
      </c>
      <c r="C39" s="1">
        <v>2800</v>
      </c>
      <c r="D39" s="1">
        <v>2900</v>
      </c>
      <c r="E39" s="1">
        <v>3000</v>
      </c>
      <c r="F39" s="1">
        <v>3100</v>
      </c>
      <c r="G39" s="1">
        <v>3200</v>
      </c>
      <c r="H39" s="1">
        <v>3300</v>
      </c>
      <c r="I39" s="1">
        <v>3400</v>
      </c>
      <c r="J39" s="1">
        <v>3500</v>
      </c>
      <c r="K39" s="1">
        <v>3600</v>
      </c>
      <c r="L39" s="1">
        <v>3700</v>
      </c>
      <c r="M39" s="1">
        <v>3800</v>
      </c>
      <c r="N39" s="1">
        <v>3900</v>
      </c>
      <c r="O39" s="1">
        <v>4000</v>
      </c>
      <c r="P39" s="1">
        <v>4100</v>
      </c>
      <c r="Q39" s="1">
        <v>4200</v>
      </c>
      <c r="R39" s="1">
        <v>4300</v>
      </c>
      <c r="S39" s="1">
        <v>4400</v>
      </c>
      <c r="T39" s="1">
        <v>4500</v>
      </c>
      <c r="U39" s="1">
        <v>4600</v>
      </c>
      <c r="V39" s="1">
        <v>4700</v>
      </c>
      <c r="W39" s="1">
        <v>4800</v>
      </c>
      <c r="X39" s="1">
        <v>4900</v>
      </c>
      <c r="Y39" s="1">
        <v>5000</v>
      </c>
      <c r="Z39" s="24">
        <v>5100</v>
      </c>
      <c r="AA39" s="1">
        <v>5200</v>
      </c>
      <c r="AB39" s="1">
        <v>5300</v>
      </c>
      <c r="AC39" s="1">
        <v>5400</v>
      </c>
      <c r="AD39" s="1">
        <v>5500</v>
      </c>
      <c r="AE39" s="1">
        <v>5600</v>
      </c>
      <c r="AF39" s="1">
        <v>5700</v>
      </c>
      <c r="AG39" s="1">
        <v>5800</v>
      </c>
      <c r="AH39" s="1">
        <v>5900</v>
      </c>
      <c r="AI39" s="1">
        <v>6000</v>
      </c>
    </row>
    <row r="40" spans="2:35" x14ac:dyDescent="0.35">
      <c r="B40" s="19" t="s">
        <v>23</v>
      </c>
      <c r="C40">
        <f>(C33-($C3+$C7))/($C3+$C7)*100</f>
        <v>-25.307874890690425</v>
      </c>
      <c r="D40" s="3">
        <f t="shared" ref="D40:AI40" si="9">(D33-($C3+$C7))/($C3+$C7)*100</f>
        <v>-56.210426652464626</v>
      </c>
      <c r="E40" s="3">
        <f t="shared" si="9"/>
        <v>-23.094287849598793</v>
      </c>
      <c r="F40" s="3">
        <f t="shared" si="9"/>
        <v>-21.987494329052975</v>
      </c>
      <c r="G40" s="3">
        <f t="shared" si="9"/>
        <v>-20.880700808507161</v>
      </c>
      <c r="H40" s="3">
        <f t="shared" si="9"/>
        <v>-19.773907287961343</v>
      </c>
      <c r="I40" s="3">
        <f t="shared" si="9"/>
        <v>-18.667113767415529</v>
      </c>
      <c r="J40" s="3">
        <f t="shared" si="9"/>
        <v>-17.560320246869708</v>
      </c>
      <c r="K40" s="3">
        <f t="shared" si="9"/>
        <v>-16.453526726323894</v>
      </c>
      <c r="L40" s="3">
        <f t="shared" si="9"/>
        <v>-15.346733205778079</v>
      </c>
      <c r="M40" s="3">
        <f t="shared" si="9"/>
        <v>-14.239939685232262</v>
      </c>
      <c r="N40" s="3">
        <f t="shared" si="9"/>
        <v>-13.133146164686446</v>
      </c>
      <c r="O40" s="3">
        <f t="shared" si="9"/>
        <v>-12.02635264414063</v>
      </c>
      <c r="P40" s="3">
        <f t="shared" si="9"/>
        <v>-10.919559123594812</v>
      </c>
      <c r="Q40" s="3">
        <f t="shared" si="9"/>
        <v>-9.8127656030489963</v>
      </c>
      <c r="R40" s="3">
        <f t="shared" si="9"/>
        <v>-8.7059720825031803</v>
      </c>
      <c r="S40" s="3">
        <f t="shared" si="9"/>
        <v>-7.5991785619573644</v>
      </c>
      <c r="T40" s="3">
        <f t="shared" si="9"/>
        <v>-6.4923850414115485</v>
      </c>
      <c r="U40" s="3">
        <f t="shared" si="9"/>
        <v>-5.3855915208657317</v>
      </c>
      <c r="V40" s="3">
        <f t="shared" si="9"/>
        <v>-4.2787980003199149</v>
      </c>
      <c r="W40" s="3">
        <f t="shared" si="9"/>
        <v>-3.1720044797740989</v>
      </c>
      <c r="X40" s="3">
        <f t="shared" si="9"/>
        <v>-2.065210959228283</v>
      </c>
      <c r="Y40" s="3">
        <f t="shared" si="9"/>
        <v>-0.95841743868246654</v>
      </c>
      <c r="Z40" s="23">
        <f t="shared" si="9"/>
        <v>0.14837608186334983</v>
      </c>
      <c r="AA40" s="3">
        <f t="shared" si="9"/>
        <v>1.2551696024091661</v>
      </c>
      <c r="AB40" s="3">
        <f t="shared" si="9"/>
        <v>2.3619631229549825</v>
      </c>
      <c r="AC40" s="3">
        <f t="shared" si="9"/>
        <v>3.4687566435007984</v>
      </c>
      <c r="AD40" s="3">
        <f t="shared" si="9"/>
        <v>4.5755501640466152</v>
      </c>
      <c r="AE40" s="3">
        <f t="shared" si="9"/>
        <v>5.6823436845924311</v>
      </c>
      <c r="AF40" s="3">
        <f t="shared" si="9"/>
        <v>6.789137205138247</v>
      </c>
      <c r="AG40" s="3">
        <f t="shared" si="9"/>
        <v>7.8959307256840638</v>
      </c>
      <c r="AH40" s="3">
        <f t="shared" si="9"/>
        <v>9.0027242462298798</v>
      </c>
      <c r="AI40" s="3">
        <f t="shared" si="9"/>
        <v>10.109517766775697</v>
      </c>
    </row>
    <row r="41" spans="2:35" x14ac:dyDescent="0.35">
      <c r="B41" s="19" t="s">
        <v>24</v>
      </c>
      <c r="C41" s="3">
        <f t="shared" ref="C41:C43" si="10">(C34-($C4+$C8))/($C4+$C8)*100</f>
        <v>-21.666733524668782</v>
      </c>
      <c r="D41" s="3">
        <f t="shared" ref="D41:AI41" si="11">(D34-($C4+$C8))/($C4+$C8)*100</f>
        <v>-46.4285063071408</v>
      </c>
      <c r="E41" s="3">
        <f t="shared" si="11"/>
        <v>-19.904113468969989</v>
      </c>
      <c r="F41" s="3">
        <f t="shared" si="11"/>
        <v>-19.02280344112058</v>
      </c>
      <c r="G41" s="3">
        <f t="shared" si="11"/>
        <v>-18.141493413271181</v>
      </c>
      <c r="H41" s="3">
        <f t="shared" si="11"/>
        <v>-17.260183385421783</v>
      </c>
      <c r="I41" s="3">
        <f t="shared" si="11"/>
        <v>-16.378873357572388</v>
      </c>
      <c r="J41" s="3">
        <f t="shared" si="11"/>
        <v>-15.497563329722992</v>
      </c>
      <c r="K41" s="3">
        <f t="shared" si="11"/>
        <v>-14.616253301873595</v>
      </c>
      <c r="L41" s="3">
        <f t="shared" si="11"/>
        <v>-13.734943274024197</v>
      </c>
      <c r="M41" s="3">
        <f t="shared" si="11"/>
        <v>-12.8536332461748</v>
      </c>
      <c r="N41" s="3">
        <f t="shared" si="11"/>
        <v>-11.972323218325403</v>
      </c>
      <c r="O41" s="3">
        <f t="shared" si="11"/>
        <v>-11.091013190476007</v>
      </c>
      <c r="P41" s="3">
        <f t="shared" si="11"/>
        <v>-10.20970316262661</v>
      </c>
      <c r="Q41" s="3">
        <f t="shared" si="11"/>
        <v>-9.3283931347771993</v>
      </c>
      <c r="R41" s="3">
        <f t="shared" si="11"/>
        <v>-8.4470831069278027</v>
      </c>
      <c r="S41" s="3">
        <f t="shared" si="11"/>
        <v>-7.5657730790784052</v>
      </c>
      <c r="T41" s="3">
        <f t="shared" si="11"/>
        <v>-6.6844630512289953</v>
      </c>
      <c r="U41" s="3">
        <f t="shared" si="11"/>
        <v>-5.8031530233795978</v>
      </c>
      <c r="V41" s="3">
        <f t="shared" si="11"/>
        <v>-4.9218429955302012</v>
      </c>
      <c r="W41" s="3">
        <f t="shared" si="11"/>
        <v>-4.0405329676808046</v>
      </c>
      <c r="X41" s="3">
        <f t="shared" si="11"/>
        <v>-3.1592229398314076</v>
      </c>
      <c r="Y41" s="3">
        <f t="shared" si="11"/>
        <v>-2.2779129119820105</v>
      </c>
      <c r="Z41" s="23">
        <f t="shared" si="11"/>
        <v>-1.3966028841326135</v>
      </c>
      <c r="AA41" s="3">
        <f t="shared" si="11"/>
        <v>-0.51529285628321675</v>
      </c>
      <c r="AB41" s="3">
        <f t="shared" si="11"/>
        <v>0.36601717156618008</v>
      </c>
      <c r="AC41" s="3">
        <f t="shared" si="11"/>
        <v>1.247327199415577</v>
      </c>
      <c r="AD41" s="3">
        <f t="shared" si="11"/>
        <v>2.1286372272649738</v>
      </c>
      <c r="AE41" s="3">
        <f t="shared" si="11"/>
        <v>3.0099472551143704</v>
      </c>
      <c r="AF41" s="3">
        <f t="shared" si="11"/>
        <v>3.8912572829637679</v>
      </c>
      <c r="AG41" s="3">
        <f t="shared" si="11"/>
        <v>4.7725673108131783</v>
      </c>
      <c r="AH41" s="3">
        <f t="shared" si="11"/>
        <v>5.6538773386625749</v>
      </c>
      <c r="AI41" s="3">
        <f t="shared" si="11"/>
        <v>6.5351873665119857</v>
      </c>
    </row>
    <row r="42" spans="2:35" x14ac:dyDescent="0.35">
      <c r="B42" s="19" t="s">
        <v>25</v>
      </c>
      <c r="C42" s="3">
        <f t="shared" si="10"/>
        <v>4.976296786285209</v>
      </c>
      <c r="D42" s="3">
        <f t="shared" ref="D42:AI42" si="12">(D35-($C5+$C9))/($C5+$C9)*100</f>
        <v>-46.702221487238852</v>
      </c>
      <c r="E42" s="3">
        <f t="shared" si="12"/>
        <v>4.976296786285209</v>
      </c>
      <c r="F42" s="3">
        <f t="shared" si="12"/>
        <v>4.976296786285209</v>
      </c>
      <c r="G42" s="3">
        <f t="shared" si="12"/>
        <v>4.976296786285209</v>
      </c>
      <c r="H42" s="3">
        <f t="shared" si="12"/>
        <v>4.976296786285209</v>
      </c>
      <c r="I42" s="3">
        <f t="shared" si="12"/>
        <v>4.976296786285209</v>
      </c>
      <c r="J42" s="3">
        <f t="shared" si="12"/>
        <v>4.976296786285209</v>
      </c>
      <c r="K42" s="3">
        <f t="shared" si="12"/>
        <v>4.976296786285209</v>
      </c>
      <c r="L42" s="3">
        <f t="shared" si="12"/>
        <v>4.976296786285209</v>
      </c>
      <c r="M42" s="3">
        <f t="shared" si="12"/>
        <v>4.976296786285209</v>
      </c>
      <c r="N42" s="3">
        <f t="shared" si="12"/>
        <v>4.976296786285209</v>
      </c>
      <c r="O42" s="3">
        <f t="shared" si="12"/>
        <v>4.976296786285209</v>
      </c>
      <c r="P42" s="3">
        <f t="shared" si="12"/>
        <v>4.976296786285209</v>
      </c>
      <c r="Q42" s="3">
        <f t="shared" si="12"/>
        <v>4.976296786285209</v>
      </c>
      <c r="R42" s="3">
        <f t="shared" si="12"/>
        <v>4.976296786285209</v>
      </c>
      <c r="S42" s="3">
        <f t="shared" si="12"/>
        <v>4.976296786285209</v>
      </c>
      <c r="T42" s="3">
        <f t="shared" si="12"/>
        <v>4.976296786285209</v>
      </c>
      <c r="U42" s="3">
        <f t="shared" si="12"/>
        <v>4.976296786285209</v>
      </c>
      <c r="V42" s="3">
        <f t="shared" si="12"/>
        <v>4.976296786285209</v>
      </c>
      <c r="W42" s="3">
        <f t="shared" si="12"/>
        <v>4.976296786285209</v>
      </c>
      <c r="X42" s="3">
        <f t="shared" si="12"/>
        <v>4.976296786285209</v>
      </c>
      <c r="Y42" s="3">
        <f t="shared" si="12"/>
        <v>4.976296786285209</v>
      </c>
      <c r="Z42" s="23">
        <f t="shared" si="12"/>
        <v>4.976296786285209</v>
      </c>
      <c r="AA42" s="3">
        <f t="shared" si="12"/>
        <v>4.976296786285209</v>
      </c>
      <c r="AB42" s="3">
        <f t="shared" si="12"/>
        <v>4.976296786285209</v>
      </c>
      <c r="AC42" s="3">
        <f t="shared" si="12"/>
        <v>4.976296786285209</v>
      </c>
      <c r="AD42" s="3">
        <f t="shared" si="12"/>
        <v>4.976296786285209</v>
      </c>
      <c r="AE42" s="3">
        <f t="shared" si="12"/>
        <v>4.976296786285209</v>
      </c>
      <c r="AF42" s="3">
        <f t="shared" si="12"/>
        <v>4.976296786285209</v>
      </c>
      <c r="AG42" s="3">
        <f t="shared" si="12"/>
        <v>4.976296786285209</v>
      </c>
      <c r="AH42" s="3">
        <f t="shared" si="12"/>
        <v>4.976296786285209</v>
      </c>
      <c r="AI42" s="3">
        <f t="shared" si="12"/>
        <v>4.976296786285209</v>
      </c>
    </row>
    <row r="43" spans="2:35" x14ac:dyDescent="0.35">
      <c r="B43" s="19" t="s">
        <v>26</v>
      </c>
      <c r="C43" s="3">
        <f t="shared" si="10"/>
        <v>-22.636706140028277</v>
      </c>
      <c r="D43" s="3">
        <f t="shared" ref="D43:AI43" si="13">(D36-($C6+$C10))/($C6+$C10)*100</f>
        <v>-54.989743464012228</v>
      </c>
      <c r="E43" s="3">
        <f t="shared" si="13"/>
        <v>-20.327963975449688</v>
      </c>
      <c r="F43" s="3">
        <f t="shared" si="13"/>
        <v>-19.173592893160389</v>
      </c>
      <c r="G43" s="3">
        <f t="shared" si="13"/>
        <v>-18.019221810871105</v>
      </c>
      <c r="H43" s="3">
        <f t="shared" si="13"/>
        <v>-16.864850728581818</v>
      </c>
      <c r="I43" s="3">
        <f t="shared" si="13"/>
        <v>-15.710479646292519</v>
      </c>
      <c r="J43" s="3">
        <f t="shared" si="13"/>
        <v>-14.556108564003219</v>
      </c>
      <c r="K43" s="3">
        <f t="shared" si="13"/>
        <v>-13.401737481713932</v>
      </c>
      <c r="L43" s="3">
        <f t="shared" si="13"/>
        <v>-12.247366399424646</v>
      </c>
      <c r="M43" s="3">
        <f t="shared" si="13"/>
        <v>-11.092995317135347</v>
      </c>
      <c r="N43" s="3">
        <f t="shared" si="13"/>
        <v>-9.9386242348460492</v>
      </c>
      <c r="O43" s="3">
        <f t="shared" si="13"/>
        <v>-8.7842531525567615</v>
      </c>
      <c r="P43" s="3">
        <f t="shared" si="13"/>
        <v>-7.6298820702674757</v>
      </c>
      <c r="Q43" s="3">
        <f t="shared" si="13"/>
        <v>-6.4755109879781765</v>
      </c>
      <c r="R43" s="3">
        <f t="shared" si="13"/>
        <v>-5.3211399056888782</v>
      </c>
      <c r="S43" s="3">
        <f t="shared" si="13"/>
        <v>-4.1667688233995905</v>
      </c>
      <c r="T43" s="3">
        <f t="shared" si="13"/>
        <v>-3.0123977411103042</v>
      </c>
      <c r="U43" s="3">
        <f t="shared" si="13"/>
        <v>-1.858026658821017</v>
      </c>
      <c r="V43" s="3">
        <f t="shared" si="13"/>
        <v>-0.70365557653170674</v>
      </c>
      <c r="W43" s="3">
        <f t="shared" si="13"/>
        <v>0.45071550575758024</v>
      </c>
      <c r="X43" s="3">
        <f t="shared" si="13"/>
        <v>1.6050865880468672</v>
      </c>
      <c r="Y43" s="3">
        <f t="shared" si="13"/>
        <v>2.759457670336154</v>
      </c>
      <c r="Z43" s="23">
        <f t="shared" si="13"/>
        <v>3.9138287526254647</v>
      </c>
      <c r="AA43" s="3">
        <f t="shared" si="13"/>
        <v>5.0681998349147515</v>
      </c>
      <c r="AB43" s="3">
        <f t="shared" si="13"/>
        <v>6.2225709172040382</v>
      </c>
      <c r="AC43" s="3">
        <f t="shared" si="13"/>
        <v>7.376941999493325</v>
      </c>
      <c r="AD43" s="3">
        <f t="shared" si="13"/>
        <v>8.5313130817826348</v>
      </c>
      <c r="AE43" s="3">
        <f t="shared" si="13"/>
        <v>9.6856841640719225</v>
      </c>
      <c r="AF43" s="3">
        <f t="shared" si="13"/>
        <v>10.840055246361208</v>
      </c>
      <c r="AG43" s="3">
        <f t="shared" si="13"/>
        <v>11.994426328650496</v>
      </c>
      <c r="AH43" s="3">
        <f t="shared" si="13"/>
        <v>13.148797410939805</v>
      </c>
      <c r="AI43" s="3">
        <f t="shared" si="13"/>
        <v>14.303168493229093</v>
      </c>
    </row>
    <row r="44" spans="2:35" x14ac:dyDescent="0.35">
      <c r="B44" s="21" t="s">
        <v>28</v>
      </c>
      <c r="C44" s="3">
        <f>(C37-$C$12)/($C$12)*100</f>
        <v>-21.32480069378223</v>
      </c>
      <c r="D44" s="3">
        <f t="shared" ref="D44:AI44" si="14">(D37-$C$12)/($C$12)*100</f>
        <v>-54.197563625358633</v>
      </c>
      <c r="E44" s="3">
        <f t="shared" si="14"/>
        <v>-19.820800920563332</v>
      </c>
      <c r="F44" s="3">
        <f t="shared" si="14"/>
        <v>-19.068801033953889</v>
      </c>
      <c r="G44" s="3">
        <f t="shared" si="14"/>
        <v>-18.316801147344457</v>
      </c>
      <c r="H44" s="3">
        <f t="shared" si="14"/>
        <v>-17.564801260735003</v>
      </c>
      <c r="I44" s="3">
        <f t="shared" si="14"/>
        <v>-16.81280137412557</v>
      </c>
      <c r="J44" s="3">
        <f t="shared" si="14"/>
        <v>-16.060801487516127</v>
      </c>
      <c r="K44" s="3">
        <f t="shared" si="14"/>
        <v>-15.308801600906682</v>
      </c>
      <c r="L44" s="3">
        <f t="shared" si="14"/>
        <v>-14.556801714297238</v>
      </c>
      <c r="M44" s="3">
        <f t="shared" si="14"/>
        <v>-13.804801827687797</v>
      </c>
      <c r="N44" s="3">
        <f t="shared" si="14"/>
        <v>-13.052801941078362</v>
      </c>
      <c r="O44" s="3">
        <f t="shared" si="14"/>
        <v>-12.300802054468919</v>
      </c>
      <c r="P44" s="3">
        <f t="shared" si="14"/>
        <v>-11.548802167859476</v>
      </c>
      <c r="Q44" s="3">
        <f t="shared" si="14"/>
        <v>-10.796802281250033</v>
      </c>
      <c r="R44" s="3">
        <f t="shared" si="14"/>
        <v>-10.044802394640588</v>
      </c>
      <c r="S44" s="3">
        <f t="shared" si="14"/>
        <v>-9.2928025080311318</v>
      </c>
      <c r="T44" s="3">
        <f t="shared" si="14"/>
        <v>-8.540802621421701</v>
      </c>
      <c r="U44" s="3">
        <f t="shared" si="14"/>
        <v>-7.7888027348122693</v>
      </c>
      <c r="V44" s="3">
        <f t="shared" si="14"/>
        <v>-7.0368028482028135</v>
      </c>
      <c r="W44" s="3">
        <f t="shared" si="14"/>
        <v>-6.2848029615933703</v>
      </c>
      <c r="X44" s="3">
        <f t="shared" si="14"/>
        <v>-5.532803074983927</v>
      </c>
      <c r="Y44" s="3">
        <f t="shared" si="14"/>
        <v>-4.7808031883744944</v>
      </c>
      <c r="Z44" s="3">
        <f t="shared" si="14"/>
        <v>-4.0288033017650395</v>
      </c>
      <c r="AA44" s="3">
        <f t="shared" si="14"/>
        <v>-3.2768034151556074</v>
      </c>
      <c r="AB44" s="3">
        <f t="shared" si="14"/>
        <v>-2.5248035285461641</v>
      </c>
      <c r="AC44" s="3">
        <f t="shared" si="14"/>
        <v>-1.7728036419367199</v>
      </c>
      <c r="AD44" s="3">
        <f t="shared" si="14"/>
        <v>-1.0208037553272646</v>
      </c>
      <c r="AE44" s="3">
        <f t="shared" si="14"/>
        <v>-0.26880386871783279</v>
      </c>
      <c r="AF44" s="3">
        <f t="shared" si="14"/>
        <v>0.48319601789159894</v>
      </c>
      <c r="AG44" s="3">
        <f t="shared" si="14"/>
        <v>1.2351959045010545</v>
      </c>
      <c r="AH44" s="3">
        <f t="shared" si="14"/>
        <v>1.9871957911104983</v>
      </c>
      <c r="AI44" s="3">
        <f t="shared" si="14"/>
        <v>2.739195677719942</v>
      </c>
    </row>
    <row r="50" spans="28:28" x14ac:dyDescent="0.35">
      <c r="AB50" s="31"/>
    </row>
  </sheetData>
  <conditionalFormatting sqref="C40:AI44">
    <cfRule type="cellIs" dxfId="1" priority="1" operator="between">
      <formula>-5</formula>
      <formula>5</formula>
    </cfRule>
    <cfRule type="cellIs" dxfId="0" priority="2" operator="between">
      <formula>-5</formula>
      <formula>-5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CASTILLO JIMENEZ</dc:creator>
  <cp:lastModifiedBy>PABLO CASTILLO JIMENEZ</cp:lastModifiedBy>
  <dcterms:created xsi:type="dcterms:W3CDTF">2026-04-18T16:30:38Z</dcterms:created>
  <dcterms:modified xsi:type="dcterms:W3CDTF">2026-04-18T20:50:55Z</dcterms:modified>
</cp:coreProperties>
</file>